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Assumptions" state="visible" r:id="rId5"/>
    <sheet sheetId="3" name="Sales" state="visible" r:id="rId6"/>
    <sheet sheetId="4" name="IncomeStatement" state="visible" r:id="rId7"/>
    <sheet sheetId="5" name="Journal" state="visible" r:id="rId8"/>
    <sheet sheetId="6" name="Variance" state="visible" r:id="rId9"/>
  </sheets>
  <calcPr calcId="171027"/>
</workbook>
</file>

<file path=xl/sharedStrings.xml><?xml version="1.0" encoding="utf-8"?>
<sst xmlns="http://schemas.openxmlformats.org/spreadsheetml/2006/main" count="226" uniqueCount="162">
  <si>
    <t>YO-DEE YOGURT</t>
  </si>
  <si>
    <t>Sales &amp; Financial Report</t>
  </si>
  <si>
    <t>Branch</t>
  </si>
  <si>
    <t>SAT Market — ตลาดนัด กกท</t>
  </si>
  <si>
    <t>Period</t>
  </si>
  <si>
    <t>June 2026</t>
  </si>
  <si>
    <t>Prepared</t>
  </si>
  <si>
    <t>2026-06-07</t>
  </si>
  <si>
    <t>Currency</t>
  </si>
  <si>
    <t>Thai Baht (฿)</t>
  </si>
  <si>
    <t>SUMMARY — THIS PERIOD</t>
  </si>
  <si>
    <t/>
  </si>
  <si>
    <t>Total Revenue</t>
  </si>
  <si>
    <t>Gross Profit</t>
  </si>
  <si>
    <t>Operating Expenses</t>
  </si>
  <si>
    <t>Net Profit</t>
  </si>
  <si>
    <t>Net Margin</t>
  </si>
  <si>
    <t>Cups Sold</t>
  </si>
  <si>
    <t>CONTENTS</t>
  </si>
  <si>
    <t>Assumptions</t>
  </si>
  <si>
    <t>Editable inputs — change these to model your month</t>
  </si>
  <si>
    <t>Sales</t>
  </si>
  <si>
    <t>Redesigned sales report by menu item (qty, price, revenue, mix)</t>
  </si>
  <si>
    <t>IncomeStatement</t>
  </si>
  <si>
    <t>Profit &amp; Loss — revenue, COGS, gross profit, opex, net</t>
  </si>
  <si>
    <t>Journal</t>
  </si>
  <si>
    <t>Double-entry journal entries (sales, COGS, expenses)</t>
  </si>
  <si>
    <t>Variance</t>
  </si>
  <si>
    <t>Actual vs Budget with favourable/unfavourable flags</t>
  </si>
  <si>
    <t>Blue = input · Black = formula · Green = links from another sheet</t>
  </si>
  <si>
    <t>Assumptions &amp; Inputs</t>
  </si>
  <si>
    <t>Blue cells are editable — every other sheet recalculates from these.</t>
  </si>
  <si>
    <t>Operating</t>
  </si>
  <si>
    <t>Days open in period</t>
  </si>
  <si>
    <t>number of selling days</t>
  </si>
  <si>
    <t>PromptPay share of sales</t>
  </si>
  <si>
    <t>rest collected as cash</t>
  </si>
  <si>
    <t>Cash share of sales</t>
  </si>
  <si>
    <t>= 1 − PromptPay share</t>
  </si>
  <si>
    <t>Cost of goods</t>
  </si>
  <si>
    <t>Ingredient cost (% of revenue)</t>
  </si>
  <si>
    <t>yogurt, fruit, toppings</t>
  </si>
  <si>
    <t>Packaging cost per cup (฿)</t>
  </si>
  <si>
    <t>cup + lid + spoon + bag</t>
  </si>
  <si>
    <t>Topping add-ons</t>
  </si>
  <si>
    <t>Avg topping add-ons per day</t>
  </si>
  <si>
    <t>extra toppings customers add</t>
  </si>
  <si>
    <t>Topping price (฿)</t>
  </si>
  <si>
    <t>per add-on</t>
  </si>
  <si>
    <t>Operating expenses (per period, ฿)</t>
  </si>
  <si>
    <t>Rent / stall fee</t>
  </si>
  <si>
    <t>Staff wages</t>
  </si>
  <si>
    <t>Utilities (electric / water / gas)</t>
  </si>
  <si>
    <t>Supplies &amp; misc</t>
  </si>
  <si>
    <t>Marketing / LINE</t>
  </si>
  <si>
    <t>Total operating expenses</t>
  </si>
  <si>
    <t>Sales Report — by menu item</t>
  </si>
  <si>
    <t>No</t>
  </si>
  <si>
    <t>Menu (ไทย)</t>
  </si>
  <si>
    <t>Menu (English)</t>
  </si>
  <si>
    <t>Unit ฿</t>
  </si>
  <si>
    <t>Avg/Day</t>
  </si>
  <si>
    <t>Days</t>
  </si>
  <si>
    <t>Units</t>
  </si>
  <si>
    <t>Gross ฿</t>
  </si>
  <si>
    <t>% Sales</t>
  </si>
  <si>
    <t>โยเกิร์ตปั่น Original</t>
  </si>
  <si>
    <t>Yogurt Original</t>
  </si>
  <si>
    <t>โยเกิร์ตปั่นข้าวเหนียวมูล</t>
  </si>
  <si>
    <t>Yogurt w/ Midnight Sticky Rice</t>
  </si>
  <si>
    <t>โยเกิร์ตปั่นข้าวโอ๊ต</t>
  </si>
  <si>
    <t>Yogurt with Oats</t>
  </si>
  <si>
    <t>โยเกิร์ตปั่นมะม่วง</t>
  </si>
  <si>
    <t>Yogurt with Mango</t>
  </si>
  <si>
    <t>โยเกิร์ตปั่นสตรอวเบอร์รี่</t>
  </si>
  <si>
    <t>Yogurt with Strawberry</t>
  </si>
  <si>
    <t>โยเกิร์ตปั่นบัวลอย</t>
  </si>
  <si>
    <t>Yogurt with Rice Balls</t>
  </si>
  <si>
    <t>โยเกิร์ตปั่นบุกน้ำผึ้ง</t>
  </si>
  <si>
    <t>Yogurt with Honey Konjac</t>
  </si>
  <si>
    <t>โยเกิร์ตปั่นโอริโอ้</t>
  </si>
  <si>
    <t>Yogurt with Oreo</t>
  </si>
  <si>
    <t>โยเกิร์ตปั่นคิทแคท</t>
  </si>
  <si>
    <t>Yogurt with KitKat</t>
  </si>
  <si>
    <t>โยเกิร์ตปั่นอโวคาโด</t>
  </si>
  <si>
    <t>Yogurt with Avocado</t>
  </si>
  <si>
    <t>โยเกิร์ตปั่นน้ำผึ้ง</t>
  </si>
  <si>
    <t>Yogurt with Honey</t>
  </si>
  <si>
    <t>โยเกิร์ตปั่นเฉาก๊วย</t>
  </si>
  <si>
    <t>Yogurt with Grass Jelly</t>
  </si>
  <si>
    <t>โยเกิร์ตปั่นปีโป้</t>
  </si>
  <si>
    <t>Yogurt with Pipo Jelly</t>
  </si>
  <si>
    <t>โยเกิร์ตปั่นกล้วย</t>
  </si>
  <si>
    <t>Yogurt with Banana</t>
  </si>
  <si>
    <t>โยเกิร์ตปั่นอโวคาโดสาหร่ายสไปรูลิน่า</t>
  </si>
  <si>
    <t>Yogurt w/ Avocado Blue Spirulina</t>
  </si>
  <si>
    <t>โยเกิร์ตปั่นข้าวเหนียวมะม่วง</t>
  </si>
  <si>
    <t>Yogurt w/ Mango &amp; Sticky Rice</t>
  </si>
  <si>
    <t>+</t>
  </si>
  <si>
    <t>ท็อปปิ้งเพิ่ม (add-ons)</t>
  </si>
  <si>
    <t>Total drink sales</t>
  </si>
  <si>
    <t>Topping add-on sales</t>
  </si>
  <si>
    <t>TOTAL REVENUE</t>
  </si>
  <si>
    <t>Total cups sold</t>
  </si>
  <si>
    <t>Average ฿ / cup</t>
  </si>
  <si>
    <t>Income Statement (P&amp;L)</t>
  </si>
  <si>
    <t>Line</t>
  </si>
  <si>
    <t>Amount ฿</t>
  </si>
  <si>
    <t>% Rev</t>
  </si>
  <si>
    <t>Revenue</t>
  </si>
  <si>
    <t xml:space="preserve">  Drink sales</t>
  </si>
  <si>
    <t xml:space="preserve">  Topping add-ons</t>
  </si>
  <si>
    <t>Cost of Goods Sold</t>
  </si>
  <si>
    <t xml:space="preserve">  Ingredients</t>
  </si>
  <si>
    <t xml:space="preserve">  Packaging</t>
  </si>
  <si>
    <t>Total COGS</t>
  </si>
  <si>
    <t xml:space="preserve">  Rent / stall fee</t>
  </si>
  <si>
    <t xml:space="preserve">  Staff wages</t>
  </si>
  <si>
    <t xml:space="preserve">  Utilities</t>
  </si>
  <si>
    <t xml:space="preserve">  Supplies &amp; misc</t>
  </si>
  <si>
    <t xml:space="preserve">  Marketing / LINE</t>
  </si>
  <si>
    <t>Total Operating Expenses</t>
  </si>
  <si>
    <t>NET PROFIT</t>
  </si>
  <si>
    <t>Note: cash-basis, single stall. No depreciation/tax modelled (turnover below the ฿1.8M VAT threshold).</t>
  </si>
  <si>
    <t>Journal Entries — period summary</t>
  </si>
  <si>
    <t>Double-entry. Total debits must equal total credits.</t>
  </si>
  <si>
    <t>2026-06-30</t>
  </si>
  <si>
    <t>JE-01</t>
  </si>
  <si>
    <t>Cash on hand</t>
  </si>
  <si>
    <t>Sales collected — cash</t>
  </si>
  <si>
    <t>PromptPay clearing</t>
  </si>
  <si>
    <t>Sales collected — PromptPay</t>
  </si>
  <si>
    <t xml:space="preserve">  Sales revenue — drinks</t>
  </si>
  <si>
    <t>Recognise drink sales</t>
  </si>
  <si>
    <t xml:space="preserve">  Sales revenue — toppings</t>
  </si>
  <si>
    <t>Recognise topping sales</t>
  </si>
  <si>
    <t>JE-02</t>
  </si>
  <si>
    <t>Cost of goods sold</t>
  </si>
  <si>
    <t>Recognise COGS for period</t>
  </si>
  <si>
    <t xml:space="preserve">  Inventory — ingredients</t>
  </si>
  <si>
    <t>Yogurt, fruit, toppings used</t>
  </si>
  <si>
    <t xml:space="preserve">  Packaging supplies</t>
  </si>
  <si>
    <t>Cups, lids, spoons, bags</t>
  </si>
  <si>
    <t>JE-03</t>
  </si>
  <si>
    <t>Rent expense</t>
  </si>
  <si>
    <t>Operating expenses paid</t>
  </si>
  <si>
    <t>Wages expense</t>
  </si>
  <si>
    <t>Utilities expense</t>
  </si>
  <si>
    <t>Supplies &amp; misc expense</t>
  </si>
  <si>
    <t>Marketing expense</t>
  </si>
  <si>
    <t xml:space="preserve">  Cash on hand</t>
  </si>
  <si>
    <t>Opex settled in cash</t>
  </si>
  <si>
    <t>TOTALS</t>
  </si>
  <si>
    <t>Check (Dr − Cr)</t>
  </si>
  <si>
    <t>Variance Analysis — Actual vs Budget</t>
  </si>
  <si>
    <t>Budget cells (blue) are editable targets.</t>
  </si>
  <si>
    <t>Actual ฿</t>
  </si>
  <si>
    <t>Budget ฿</t>
  </si>
  <si>
    <t>Variance ฿</t>
  </si>
  <si>
    <t>Var %</t>
  </si>
  <si>
    <t>Flag</t>
  </si>
  <si>
    <t>Favourable = better than target (more revenue/profit, or lower cost).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</si>
</sst>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฿&quot;#,##0;(&quot;฿&quot;#,##0);&quot;-&quot;"/>
    <numFmt numFmtId="165" formatCode="0.0%"/>
    <numFmt numFmtId="166" formatCode="#,##0;(#,##0);&quot;-&quot;"/>
    <numFmt numFmtId="167" formatCode="&quot;฿&quot;#,##0.00"/>
  </numFmts>
  <fonts count="25" x14ac:knownFonts="1">
    <font>
      <color theme="1"/>
      <family val="2"/>
      <scheme val="minor"/>
      <sz val="11"/>
      <name val="Calibri"/>
    </font>
    <font>
      <b/>
      <color rgb="FF1E3A5F"/>
      <sz val="22"/>
      <name val="Arial"/>
    </font>
    <font>
      <b/>
      <color rgb="FF1AB3CE"/>
      <sz val="13"/>
      <name val="Arial"/>
    </font>
    <font>
      <b/>
      <color rgb="FF5C7187"/>
      <sz val="10"/>
      <name val="Arial"/>
    </font>
    <font>
      <color rgb="FF000000"/>
      <sz val="10"/>
      <name val="Arial"/>
    </font>
    <font>
      <color rgb="FF0000FF"/>
      <sz val="10"/>
      <name val="Arial"/>
    </font>
    <font>
      <b/>
      <color rgb="FFFFFFFF"/>
      <sz val="11"/>
      <name val="Arial"/>
    </font>
    <font>
      <b/>
      <color rgb="FF008000"/>
      <sz val="10"/>
      <name val="Arial"/>
    </font>
    <font>
      <b/>
      <color rgb="FF1E3A5F"/>
      <sz val="11"/>
      <name val="Arial"/>
    </font>
    <font>
      <b/>
      <color rgb="FF1AB3CE"/>
      <sz val="10"/>
      <name val="Arial"/>
    </font>
    <font>
      <color rgb="FF5C7187"/>
      <sz val="9"/>
      <name val="Arial"/>
    </font>
    <font>
      <i/>
      <color rgb="FF5C7187"/>
      <sz val="8"/>
      <name val="Arial"/>
    </font>
    <font>
      <b/>
      <color rgb="FF1E3A5F"/>
      <sz val="16"/>
      <name val="Arial"/>
    </font>
    <font>
      <color rgb="FF5C7187"/>
      <sz val="11"/>
      <name val="Arial"/>
    </font>
    <font>
      <b/>
      <color rgb="FFFFFFFF"/>
      <sz val="10"/>
      <name val="Arial"/>
    </font>
    <font>
      <color rgb="FF5C7187"/>
      <sz val="8"/>
      <name val="Arial"/>
    </font>
    <font>
      <b/>
      <color rgb="FF000000"/>
      <sz val="10"/>
      <name val="Arial"/>
    </font>
    <font>
      <color rgb="FF008000"/>
      <sz val="11"/>
      <name val="Arial"/>
    </font>
    <font>
      <color rgb="FF5C7187"/>
      <sz val="10"/>
      <name val="Arial"/>
    </font>
    <font>
      <color rgb="FF008000"/>
      <sz val="10"/>
      <name val="Arial"/>
    </font>
    <font>
      <b/>
      <color rgb="FF1E3A5F"/>
      <sz val="10"/>
      <name val="Arial"/>
    </font>
    <font>
      <b/>
      <color rgb="FF5C7187"/>
      <sz val="9"/>
      <name val="Arial"/>
    </font>
    <font>
      <b/>
      <color rgb="FFFFFFFF"/>
      <sz val="9"/>
      <name val="Arial"/>
    </font>
    <font>
      <color rgb="FF000000"/>
      <sz val="9"/>
      <name val="Arial"/>
    </font>
    <font>
      <b/>
      <color rgb="FFC0392B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AB3CE"/>
      </patternFill>
    </fill>
  </fills>
  <borders count="2">
    <border>
      <left/>
      <right/>
      <top/>
      <bottom/>
      <diagonal/>
    </border>
    <border>
      <left style="thin">
        <color rgb="FFD0D8DF"/>
      </left>
      <right style="thin">
        <color rgb="FFD0D8DF"/>
      </right>
      <top style="thin">
        <color rgb="FFD0D8DF"/>
      </top>
      <bottom style="thin">
        <color rgb="FFD0D8DF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166" fontId="7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1" fontId="5" fillId="0" borderId="1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7" fontId="5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vertical="center"/>
    </xf>
    <xf numFmtId="164" fontId="16" fillId="0" borderId="1" xfId="0" applyNumberFormat="1" applyFont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9" fillId="0" borderId="1" xfId="0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0" fontId="20" fillId="0" borderId="0" xfId="0" applyFont="1" applyAlignment="1">
      <alignment vertical="center"/>
    </xf>
    <xf numFmtId="164" fontId="16" fillId="0" borderId="0" xfId="0" applyNumberFormat="1" applyFont="1" applyAlignment="1">
      <alignment horizontal="right" vertical="center"/>
    </xf>
    <xf numFmtId="0" fontId="18" fillId="0" borderId="0" xfId="0" applyFont="1" applyAlignment="1">
      <alignment vertical="center"/>
    </xf>
    <xf numFmtId="164" fontId="4" fillId="0" borderId="0" xfId="0" applyNumberFormat="1" applyFont="1" applyAlignment="1">
      <alignment horizontal="right" vertical="center"/>
    </xf>
    <xf numFmtId="0" fontId="14" fillId="2" borderId="0" xfId="0" applyFont="1" applyFill="1" applyAlignment="1">
      <alignment vertical="center"/>
    </xf>
    <xf numFmtId="164" fontId="14" fillId="2" borderId="0" xfId="0" applyNumberFormat="1" applyFont="1" applyFill="1" applyAlignment="1">
      <alignment horizontal="right" vertical="center"/>
    </xf>
    <xf numFmtId="166" fontId="16" fillId="0" borderId="0" xfId="0" applyNumberFormat="1" applyFont="1" applyAlignment="1">
      <alignment horizontal="right" vertical="center"/>
    </xf>
    <xf numFmtId="167" fontId="4" fillId="0" borderId="0" xfId="0" applyNumberFormat="1" applyFont="1" applyAlignment="1">
      <alignment horizontal="right" vertical="center"/>
    </xf>
    <xf numFmtId="0" fontId="9" fillId="0" borderId="1" xfId="0" applyFont="1" applyBorder="1" applyAlignment="1">
      <alignment vertical="center"/>
    </xf>
    <xf numFmtId="165" fontId="10" fillId="0" borderId="1" xfId="0" applyNumberFormat="1" applyFont="1" applyBorder="1" applyAlignment="1">
      <alignment horizontal="right" vertical="center"/>
    </xf>
    <xf numFmtId="0" fontId="20" fillId="0" borderId="1" xfId="0" applyFont="1" applyBorder="1" applyAlignment="1">
      <alignment vertical="center"/>
    </xf>
    <xf numFmtId="165" fontId="21" fillId="0" borderId="1" xfId="0" applyNumberFormat="1" applyFont="1" applyBorder="1" applyAlignment="1">
      <alignment horizontal="right" vertical="center"/>
    </xf>
    <xf numFmtId="164" fontId="14" fillId="3" borderId="1" xfId="0" applyNumberFormat="1" applyFont="1" applyFill="1" applyBorder="1" applyAlignment="1">
      <alignment horizontal="right" vertical="center"/>
    </xf>
    <xf numFmtId="165" fontId="22" fillId="3" borderId="1" xfId="0" applyNumberFormat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vertical="center"/>
    </xf>
    <xf numFmtId="164" fontId="14" fillId="2" borderId="1" xfId="0" applyNumberFormat="1" applyFont="1" applyFill="1" applyBorder="1" applyAlignment="1">
      <alignment horizontal="right" vertical="center"/>
    </xf>
    <xf numFmtId="165" fontId="22" fillId="2" borderId="1" xfId="0" applyNumberFormat="1" applyFont="1" applyFill="1" applyBorder="1" applyAlignment="1">
      <alignment horizontal="right" vertical="center"/>
    </xf>
    <xf numFmtId="0" fontId="23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0" customWidth="1"/>
    <col min="3" max="3" width="26" customWidth="1"/>
    <col min="4" max="4" width="3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5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10" spans="2:3" x14ac:dyDescent="0.25">
      <c r="B10" s="6" t="s">
        <v>10</v>
      </c>
      <c r="C10" s="7" t="s">
        <v>11</v>
      </c>
    </row>
    <row r="11" spans="2:3" x14ac:dyDescent="0.25">
      <c r="B11" s="8" t="s">
        <v>12</v>
      </c>
      <c r="C11" s="9">
        <f>IncomeStatement!B8</f>
        <v>246510</v>
      </c>
    </row>
    <row r="12" spans="2:3" x14ac:dyDescent="0.25">
      <c r="B12" s="8" t="s">
        <v>13</v>
      </c>
      <c r="C12" s="9">
        <f>IncomeStatement!B13</f>
        <v>146701.8</v>
      </c>
    </row>
    <row r="13" spans="2:3" x14ac:dyDescent="0.25">
      <c r="B13" s="8" t="s">
        <v>14</v>
      </c>
      <c r="C13" s="9">
        <f>IncomeStatement!B20</f>
        <v>32800</v>
      </c>
    </row>
    <row r="14" spans="2:3" x14ac:dyDescent="0.25">
      <c r="B14" s="8" t="s">
        <v>15</v>
      </c>
      <c r="C14" s="9">
        <f>IncomeStatement!B21</f>
        <v>113901.79999999999</v>
      </c>
    </row>
    <row r="15" spans="2:3" x14ac:dyDescent="0.25">
      <c r="B15" s="8" t="s">
        <v>16</v>
      </c>
      <c r="C15" s="10">
        <f>IncomeStatement!C21</f>
        <v>0.46205752302137837</v>
      </c>
    </row>
    <row r="16" spans="2:3" x14ac:dyDescent="0.25">
      <c r="B16" s="8" t="s">
        <v>17</v>
      </c>
      <c r="C16" s="11">
        <f>Sales!G26</f>
        <v>4650</v>
      </c>
    </row>
    <row r="18" spans="2:2" x14ac:dyDescent="0.25">
      <c r="B18" s="12" t="s">
        <v>18</v>
      </c>
    </row>
    <row r="19" spans="2:4" x14ac:dyDescent="0.25">
      <c r="B19" s="13" t="s">
        <v>19</v>
      </c>
      <c r="C19" s="14" t="s">
        <v>20</v>
      </c>
      <c r="D19" s="14"/>
    </row>
    <row r="20" spans="2:4" x14ac:dyDescent="0.25">
      <c r="B20" s="13" t="s">
        <v>21</v>
      </c>
      <c r="C20" s="14" t="s">
        <v>22</v>
      </c>
      <c r="D20" s="14"/>
    </row>
    <row r="21" spans="2:4" x14ac:dyDescent="0.25">
      <c r="B21" s="13" t="s">
        <v>23</v>
      </c>
      <c r="C21" s="14" t="s">
        <v>24</v>
      </c>
      <c r="D21" s="14"/>
    </row>
    <row r="22" spans="2:4" x14ac:dyDescent="0.25">
      <c r="B22" s="13" t="s">
        <v>25</v>
      </c>
      <c r="C22" s="14" t="s">
        <v>26</v>
      </c>
      <c r="D22" s="14"/>
    </row>
    <row r="23" spans="2:4" x14ac:dyDescent="0.25">
      <c r="B23" s="13" t="s">
        <v>27</v>
      </c>
      <c r="C23" s="14" t="s">
        <v>28</v>
      </c>
      <c r="D23" s="14"/>
    </row>
    <row r="26" spans="2:4" x14ac:dyDescent="0.25">
      <c r="B26" s="15" t="s">
        <v>29</v>
      </c>
      <c r="C26" s="15"/>
      <c r="D26" s="15"/>
    </row>
  </sheetData>
  <mergeCells count="6">
    <mergeCell ref="C19:D19"/>
    <mergeCell ref="C20:D20"/>
    <mergeCell ref="C21:D21"/>
    <mergeCell ref="C22:D22"/>
    <mergeCell ref="C23:D23"/>
    <mergeCell ref="B26:D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16" customWidth="1"/>
    <col min="3" max="3" width="40" customWidth="1"/>
  </cols>
  <sheetData>
    <row r="1" spans="1:1" x14ac:dyDescent="0.25">
      <c r="A1" s="16" t="s">
        <v>30</v>
      </c>
    </row>
    <row r="2" spans="1:1" x14ac:dyDescent="0.25">
      <c r="A2" s="17" t="s">
        <v>31</v>
      </c>
    </row>
    <row r="4" spans="1:3" x14ac:dyDescent="0.25">
      <c r="A4" s="18" t="s">
        <v>32</v>
      </c>
      <c r="B4" s="19" t="s">
        <v>11</v>
      </c>
      <c r="C4" s="19" t="s">
        <v>11</v>
      </c>
    </row>
    <row r="5" spans="1:3" x14ac:dyDescent="0.25">
      <c r="A5" s="20" t="s">
        <v>33</v>
      </c>
      <c r="B5" s="21">
        <v>30</v>
      </c>
      <c r="C5" s="22" t="s">
        <v>34</v>
      </c>
    </row>
    <row r="6" spans="1:3" x14ac:dyDescent="0.25">
      <c r="A6" s="20" t="s">
        <v>35</v>
      </c>
      <c r="B6" s="23">
        <v>0.55</v>
      </c>
      <c r="C6" s="22" t="s">
        <v>36</v>
      </c>
    </row>
    <row r="7" spans="1:3" x14ac:dyDescent="0.25">
      <c r="A7" s="20" t="s">
        <v>37</v>
      </c>
      <c r="B7" s="24">
        <f>1-B6</f>
        <v>0.44999999999999996</v>
      </c>
      <c r="C7" s="22" t="s">
        <v>38</v>
      </c>
    </row>
    <row r="8" spans="1:3" x14ac:dyDescent="0.25">
      <c r="A8" s="18" t="s">
        <v>39</v>
      </c>
      <c r="B8" s="19" t="s">
        <v>11</v>
      </c>
      <c r="C8" s="19" t="s">
        <v>11</v>
      </c>
    </row>
    <row r="9" spans="1:3" x14ac:dyDescent="0.25">
      <c r="A9" s="20" t="s">
        <v>40</v>
      </c>
      <c r="B9" s="23">
        <v>0.32</v>
      </c>
      <c r="C9" s="22" t="s">
        <v>41</v>
      </c>
    </row>
    <row r="10" spans="1:3" x14ac:dyDescent="0.25">
      <c r="A10" s="20" t="s">
        <v>42</v>
      </c>
      <c r="B10" s="25">
        <v>4.5</v>
      </c>
      <c r="C10" s="22" t="s">
        <v>43</v>
      </c>
    </row>
    <row r="11" spans="1:3" x14ac:dyDescent="0.25">
      <c r="A11" s="18" t="s">
        <v>44</v>
      </c>
      <c r="B11" s="19" t="s">
        <v>11</v>
      </c>
      <c r="C11" s="19" t="s">
        <v>11</v>
      </c>
    </row>
    <row r="12" spans="1:3" x14ac:dyDescent="0.25">
      <c r="A12" s="20" t="s">
        <v>45</v>
      </c>
      <c r="B12" s="21">
        <v>60</v>
      </c>
      <c r="C12" s="22" t="s">
        <v>46</v>
      </c>
    </row>
    <row r="13" spans="1:3" x14ac:dyDescent="0.25">
      <c r="A13" s="20" t="s">
        <v>47</v>
      </c>
      <c r="B13" s="26">
        <v>10</v>
      </c>
      <c r="C13" s="22" t="s">
        <v>48</v>
      </c>
    </row>
    <row r="14" spans="1:3" x14ac:dyDescent="0.25">
      <c r="A14" s="18" t="s">
        <v>49</v>
      </c>
      <c r="B14" s="19" t="s">
        <v>11</v>
      </c>
      <c r="C14" s="19" t="s">
        <v>11</v>
      </c>
    </row>
    <row r="15" spans="1:2" x14ac:dyDescent="0.25">
      <c r="A15" s="20" t="s">
        <v>50</v>
      </c>
      <c r="B15" s="26">
        <v>8000</v>
      </c>
    </row>
    <row r="16" spans="1:2" x14ac:dyDescent="0.25">
      <c r="A16" s="20" t="s">
        <v>51</v>
      </c>
      <c r="B16" s="26">
        <v>18000</v>
      </c>
    </row>
    <row r="17" spans="1:2" x14ac:dyDescent="0.25">
      <c r="A17" s="20" t="s">
        <v>52</v>
      </c>
      <c r="B17" s="26">
        <v>3500</v>
      </c>
    </row>
    <row r="18" spans="1:2" x14ac:dyDescent="0.25">
      <c r="A18" s="20" t="s">
        <v>53</v>
      </c>
      <c r="B18" s="26">
        <v>2500</v>
      </c>
    </row>
    <row r="19" spans="1:2" x14ac:dyDescent="0.25">
      <c r="A19" s="20" t="s">
        <v>54</v>
      </c>
      <c r="B19" s="26">
        <v>800</v>
      </c>
    </row>
    <row r="20" spans="1:3" x14ac:dyDescent="0.25">
      <c r="A20" s="27" t="s">
        <v>55</v>
      </c>
      <c r="B20" s="28">
        <f>SUM(B15:B19)</f>
        <v>32800</v>
      </c>
      <c r="C20" s="2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30" customWidth="1"/>
    <col min="4" max="5" width="12" customWidth="1"/>
    <col min="6" max="6" width="8" customWidth="1"/>
    <col min="7" max="7" width="12" customWidth="1"/>
    <col min="8" max="8" width="15" customWidth="1"/>
    <col min="9" max="9" width="11" customWidth="1"/>
  </cols>
  <sheetData>
    <row r="1" spans="1:1" x14ac:dyDescent="0.25">
      <c r="A1" s="16" t="s">
        <v>56</v>
      </c>
    </row>
    <row r="2" spans="1:1" x14ac:dyDescent="0.25">
      <c r="A2" s="29" t="str">
        <f>"Period: "&amp;Cover!C6</f>
        <v>Period: June 2026</v>
      </c>
    </row>
    <row r="4" spans="1:9" x14ac:dyDescent="0.25">
      <c r="A4" s="30" t="s">
        <v>57</v>
      </c>
      <c r="B4" s="30" t="s">
        <v>58</v>
      </c>
      <c r="C4" s="30" t="s">
        <v>59</v>
      </c>
      <c r="D4" s="30" t="s">
        <v>60</v>
      </c>
      <c r="E4" s="30" t="s">
        <v>61</v>
      </c>
      <c r="F4" s="30" t="s">
        <v>62</v>
      </c>
      <c r="G4" s="30" t="s">
        <v>63</v>
      </c>
      <c r="H4" s="30" t="s">
        <v>64</v>
      </c>
      <c r="I4" s="30" t="s">
        <v>65</v>
      </c>
    </row>
    <row r="5" spans="1:9" x14ac:dyDescent="0.25">
      <c r="A5" s="31">
        <v>1</v>
      </c>
      <c r="B5" s="20" t="s">
        <v>66</v>
      </c>
      <c r="C5" s="32" t="s">
        <v>67</v>
      </c>
      <c r="D5" s="26">
        <v>40</v>
      </c>
      <c r="E5" s="21">
        <v>18</v>
      </c>
      <c r="F5" s="33">
        <f>Assumptions!$B$5</f>
        <v>30</v>
      </c>
      <c r="G5" s="34">
        <f>E5*F5</f>
        <v>540</v>
      </c>
      <c r="H5" s="35">
        <f>G5*D5</f>
        <v>21600</v>
      </c>
      <c r="I5" s="24">
        <f>H5/$H$25</f>
        <v>0.08762322015334063</v>
      </c>
    </row>
    <row r="6" spans="1:9" x14ac:dyDescent="0.25">
      <c r="A6" s="31">
        <v>2</v>
      </c>
      <c r="B6" s="20" t="s">
        <v>68</v>
      </c>
      <c r="C6" s="32" t="s">
        <v>69</v>
      </c>
      <c r="D6" s="26">
        <v>49</v>
      </c>
      <c r="E6" s="21">
        <v>10</v>
      </c>
      <c r="F6" s="33">
        <f>Assumptions!$B$5</f>
        <v>30</v>
      </c>
      <c r="G6" s="34">
        <f>E6*F6</f>
        <v>300</v>
      </c>
      <c r="H6" s="35">
        <f>G6*D6</f>
        <v>14700</v>
      </c>
      <c r="I6" s="24">
        <f>H6/$H$25</f>
        <v>0.05963246927102349</v>
      </c>
    </row>
    <row r="7" spans="1:9" x14ac:dyDescent="0.25">
      <c r="A7" s="31">
        <v>3</v>
      </c>
      <c r="B7" s="20" t="s">
        <v>70</v>
      </c>
      <c r="C7" s="32" t="s">
        <v>71</v>
      </c>
      <c r="D7" s="26">
        <v>49</v>
      </c>
      <c r="E7" s="21">
        <v>8</v>
      </c>
      <c r="F7" s="33">
        <f>Assumptions!$B$5</f>
        <v>30</v>
      </c>
      <c r="G7" s="34">
        <f>E7*F7</f>
        <v>240</v>
      </c>
      <c r="H7" s="35">
        <f>G7*D7</f>
        <v>11760</v>
      </c>
      <c r="I7" s="24">
        <f>H7/$H$25</f>
        <v>0.04770597541681879</v>
      </c>
    </row>
    <row r="8" spans="1:9" x14ac:dyDescent="0.25">
      <c r="A8" s="31">
        <v>4</v>
      </c>
      <c r="B8" s="20" t="s">
        <v>72</v>
      </c>
      <c r="C8" s="32" t="s">
        <v>73</v>
      </c>
      <c r="D8" s="26">
        <v>49</v>
      </c>
      <c r="E8" s="21">
        <v>16</v>
      </c>
      <c r="F8" s="33">
        <f>Assumptions!$B$5</f>
        <v>30</v>
      </c>
      <c r="G8" s="34">
        <f>E8*F8</f>
        <v>480</v>
      </c>
      <c r="H8" s="35">
        <f>G8*D8</f>
        <v>23520</v>
      </c>
      <c r="I8" s="24">
        <f>H8/$H$25</f>
        <v>0.09541195083363758</v>
      </c>
    </row>
    <row r="9" spans="1:9" x14ac:dyDescent="0.25">
      <c r="A9" s="31">
        <v>5</v>
      </c>
      <c r="B9" s="20" t="s">
        <v>74</v>
      </c>
      <c r="C9" s="32" t="s">
        <v>75</v>
      </c>
      <c r="D9" s="26">
        <v>49</v>
      </c>
      <c r="E9" s="21">
        <v>14</v>
      </c>
      <c r="F9" s="33">
        <f>Assumptions!$B$5</f>
        <v>30</v>
      </c>
      <c r="G9" s="34">
        <f>E9*F9</f>
        <v>420</v>
      </c>
      <c r="H9" s="35">
        <f>G9*D9</f>
        <v>20580</v>
      </c>
      <c r="I9" s="24">
        <f>H9/$H$25</f>
        <v>0.08348545697943288</v>
      </c>
    </row>
    <row r="10" spans="1:9" x14ac:dyDescent="0.25">
      <c r="A10" s="31">
        <v>6</v>
      </c>
      <c r="B10" s="20" t="s">
        <v>76</v>
      </c>
      <c r="C10" s="32" t="s">
        <v>77</v>
      </c>
      <c r="D10" s="26">
        <v>49</v>
      </c>
      <c r="E10" s="21">
        <v>9</v>
      </c>
      <c r="F10" s="33">
        <f>Assumptions!$B$5</f>
        <v>30</v>
      </c>
      <c r="G10" s="34">
        <f>E10*F10</f>
        <v>270</v>
      </c>
      <c r="H10" s="35">
        <f>G10*D10</f>
        <v>13230</v>
      </c>
      <c r="I10" s="24">
        <f>H10/$H$25</f>
        <v>0.05366922234392114</v>
      </c>
    </row>
    <row r="11" spans="1:9" x14ac:dyDescent="0.25">
      <c r="A11" s="31">
        <v>7</v>
      </c>
      <c r="B11" s="20" t="s">
        <v>78</v>
      </c>
      <c r="C11" s="32" t="s">
        <v>79</v>
      </c>
      <c r="D11" s="26">
        <v>49</v>
      </c>
      <c r="E11" s="21">
        <v>7</v>
      </c>
      <c r="F11" s="33">
        <f>Assumptions!$B$5</f>
        <v>30</v>
      </c>
      <c r="G11" s="34">
        <f>E11*F11</f>
        <v>210</v>
      </c>
      <c r="H11" s="35">
        <f>G11*D11</f>
        <v>10290</v>
      </c>
      <c r="I11" s="24">
        <f>H11/$H$25</f>
        <v>0.04174272848971644</v>
      </c>
    </row>
    <row r="12" spans="1:9" x14ac:dyDescent="0.25">
      <c r="A12" s="31">
        <v>8</v>
      </c>
      <c r="B12" s="20" t="s">
        <v>80</v>
      </c>
      <c r="C12" s="32" t="s">
        <v>81</v>
      </c>
      <c r="D12" s="26">
        <v>49</v>
      </c>
      <c r="E12" s="21">
        <v>12</v>
      </c>
      <c r="F12" s="33">
        <f>Assumptions!$B$5</f>
        <v>30</v>
      </c>
      <c r="G12" s="34">
        <f>E12*F12</f>
        <v>360</v>
      </c>
      <c r="H12" s="35">
        <f>G12*D12</f>
        <v>17640</v>
      </c>
      <c r="I12" s="24">
        <f>H12/$H$25</f>
        <v>0.07155896312522819</v>
      </c>
    </row>
    <row r="13" spans="1:9" x14ac:dyDescent="0.25">
      <c r="A13" s="31">
        <v>9</v>
      </c>
      <c r="B13" s="20" t="s">
        <v>82</v>
      </c>
      <c r="C13" s="32" t="s">
        <v>83</v>
      </c>
      <c r="D13" s="26">
        <v>49</v>
      </c>
      <c r="E13" s="21">
        <v>11</v>
      </c>
      <c r="F13" s="33">
        <f>Assumptions!$B$5</f>
        <v>30</v>
      </c>
      <c r="G13" s="34">
        <f>E13*F13</f>
        <v>330</v>
      </c>
      <c r="H13" s="35">
        <f>G13*D13</f>
        <v>16170</v>
      </c>
      <c r="I13" s="24">
        <f>H13/$H$25</f>
        <v>0.06559571619812583</v>
      </c>
    </row>
    <row r="14" spans="1:9" x14ac:dyDescent="0.25">
      <c r="A14" s="31">
        <v>10</v>
      </c>
      <c r="B14" s="20" t="s">
        <v>84</v>
      </c>
      <c r="C14" s="32" t="s">
        <v>85</v>
      </c>
      <c r="D14" s="26">
        <v>59</v>
      </c>
      <c r="E14" s="21">
        <v>6</v>
      </c>
      <c r="F14" s="33">
        <f>Assumptions!$B$5</f>
        <v>30</v>
      </c>
      <c r="G14" s="34">
        <f>E14*F14</f>
        <v>180</v>
      </c>
      <c r="H14" s="35">
        <f>G14*D14</f>
        <v>10620</v>
      </c>
      <c r="I14" s="24">
        <f>H14/$H$25</f>
        <v>0.04308141657539248</v>
      </c>
    </row>
    <row r="15" spans="1:9" x14ac:dyDescent="0.25">
      <c r="A15" s="31">
        <v>11</v>
      </c>
      <c r="B15" s="20" t="s">
        <v>86</v>
      </c>
      <c r="C15" s="32" t="s">
        <v>87</v>
      </c>
      <c r="D15" s="26">
        <v>49</v>
      </c>
      <c r="E15" s="21">
        <v>7</v>
      </c>
      <c r="F15" s="33">
        <f>Assumptions!$B$5</f>
        <v>30</v>
      </c>
      <c r="G15" s="34">
        <f>E15*F15</f>
        <v>210</v>
      </c>
      <c r="H15" s="35">
        <f>G15*D15</f>
        <v>10290</v>
      </c>
      <c r="I15" s="24">
        <f>H15/$H$25</f>
        <v>0.04174272848971644</v>
      </c>
    </row>
    <row r="16" spans="1:9" x14ac:dyDescent="0.25">
      <c r="A16" s="31">
        <v>12</v>
      </c>
      <c r="B16" s="20" t="s">
        <v>88</v>
      </c>
      <c r="C16" s="32" t="s">
        <v>89</v>
      </c>
      <c r="D16" s="26">
        <v>49</v>
      </c>
      <c r="E16" s="21">
        <v>8</v>
      </c>
      <c r="F16" s="33">
        <f>Assumptions!$B$5</f>
        <v>30</v>
      </c>
      <c r="G16" s="34">
        <f>E16*F16</f>
        <v>240</v>
      </c>
      <c r="H16" s="35">
        <f>G16*D16</f>
        <v>11760</v>
      </c>
      <c r="I16" s="24">
        <f>H16/$H$25</f>
        <v>0.04770597541681879</v>
      </c>
    </row>
    <row r="17" spans="1:9" x14ac:dyDescent="0.25">
      <c r="A17" s="31">
        <v>13</v>
      </c>
      <c r="B17" s="20" t="s">
        <v>90</v>
      </c>
      <c r="C17" s="32" t="s">
        <v>91</v>
      </c>
      <c r="D17" s="26">
        <v>49</v>
      </c>
      <c r="E17" s="21">
        <v>9</v>
      </c>
      <c r="F17" s="33">
        <f>Assumptions!$B$5</f>
        <v>30</v>
      </c>
      <c r="G17" s="34">
        <f>E17*F17</f>
        <v>270</v>
      </c>
      <c r="H17" s="35">
        <f>G17*D17</f>
        <v>13230</v>
      </c>
      <c r="I17" s="24">
        <f>H17/$H$25</f>
        <v>0.05366922234392114</v>
      </c>
    </row>
    <row r="18" spans="1:9" x14ac:dyDescent="0.25">
      <c r="A18" s="31">
        <v>14</v>
      </c>
      <c r="B18" s="20" t="s">
        <v>92</v>
      </c>
      <c r="C18" s="32" t="s">
        <v>93</v>
      </c>
      <c r="D18" s="26">
        <v>49</v>
      </c>
      <c r="E18" s="21">
        <v>10</v>
      </c>
      <c r="F18" s="33">
        <f>Assumptions!$B$5</f>
        <v>30</v>
      </c>
      <c r="G18" s="34">
        <f>E18*F18</f>
        <v>300</v>
      </c>
      <c r="H18" s="35">
        <f>G18*D18</f>
        <v>14700</v>
      </c>
      <c r="I18" s="24">
        <f>H18/$H$25</f>
        <v>0.05963246927102349</v>
      </c>
    </row>
    <row r="19" spans="1:9" x14ac:dyDescent="0.25">
      <c r="A19" s="31">
        <v>15</v>
      </c>
      <c r="B19" s="20" t="s">
        <v>94</v>
      </c>
      <c r="C19" s="32" t="s">
        <v>95</v>
      </c>
      <c r="D19" s="26">
        <v>65</v>
      </c>
      <c r="E19" s="21">
        <v>4</v>
      </c>
      <c r="F19" s="33">
        <f>Assumptions!$B$5</f>
        <v>30</v>
      </c>
      <c r="G19" s="34">
        <f>E19*F19</f>
        <v>120</v>
      </c>
      <c r="H19" s="35">
        <f>G19*D19</f>
        <v>7800</v>
      </c>
      <c r="I19" s="24">
        <f>H19/$H$25</f>
        <v>0.03164171838870634</v>
      </c>
    </row>
    <row r="20" spans="1:9" x14ac:dyDescent="0.25">
      <c r="A20" s="31">
        <v>16</v>
      </c>
      <c r="B20" s="20" t="s">
        <v>96</v>
      </c>
      <c r="C20" s="32" t="s">
        <v>97</v>
      </c>
      <c r="D20" s="26">
        <v>59</v>
      </c>
      <c r="E20" s="21">
        <v>6</v>
      </c>
      <c r="F20" s="33">
        <f>Assumptions!$B$5</f>
        <v>30</v>
      </c>
      <c r="G20" s="34">
        <f>E20*F20</f>
        <v>180</v>
      </c>
      <c r="H20" s="35">
        <f>G20*D20</f>
        <v>10620</v>
      </c>
      <c r="I20" s="24">
        <f>H20/$H$25</f>
        <v>0.04308141657539248</v>
      </c>
    </row>
    <row r="21" spans="1:9" x14ac:dyDescent="0.25">
      <c r="A21" s="31" t="s">
        <v>98</v>
      </c>
      <c r="B21" s="20" t="s">
        <v>99</v>
      </c>
      <c r="C21" s="32" t="s">
        <v>44</v>
      </c>
      <c r="D21" s="36">
        <f>Assumptions!$B$13</f>
        <v>10</v>
      </c>
      <c r="E21" s="33">
        <f>Assumptions!$B$12</f>
        <v>60</v>
      </c>
      <c r="F21" s="33">
        <f>Assumptions!$B$5</f>
        <v>30</v>
      </c>
      <c r="G21" s="34">
        <f>E21*F21</f>
        <v>1800</v>
      </c>
      <c r="H21" s="35">
        <f>G21*D21</f>
        <v>18000</v>
      </c>
      <c r="I21" s="24">
        <f>H21/$H$25</f>
        <v>0.07301935012778386</v>
      </c>
    </row>
    <row r="23" spans="3:8" x14ac:dyDescent="0.25">
      <c r="C23" s="37" t="s">
        <v>100</v>
      </c>
      <c r="H23" s="38">
        <f>SUM(H5:H20)</f>
        <v>228510</v>
      </c>
    </row>
    <row r="24" spans="3:8" x14ac:dyDescent="0.25">
      <c r="C24" s="39" t="s">
        <v>101</v>
      </c>
      <c r="H24" s="40">
        <f>H21</f>
        <v>18000</v>
      </c>
    </row>
    <row r="25" spans="3:8" x14ac:dyDescent="0.25">
      <c r="C25" s="41" t="s">
        <v>102</v>
      </c>
      <c r="H25" s="42">
        <f>H23+H24</f>
        <v>246510</v>
      </c>
    </row>
    <row r="26" spans="3:7" x14ac:dyDescent="0.25">
      <c r="C26" s="39" t="s">
        <v>103</v>
      </c>
      <c r="G26" s="43">
        <f>SUM(G5:G20)</f>
        <v>4650</v>
      </c>
    </row>
    <row r="27" spans="3:8" x14ac:dyDescent="0.25">
      <c r="C27" s="39" t="s">
        <v>104</v>
      </c>
      <c r="H27" s="44">
        <f>H23/G26</f>
        <v>49.14193548387097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6" customWidth="1"/>
    <col min="3" max="3" width="12" customWidth="1"/>
  </cols>
  <sheetData>
    <row r="1" spans="1:1" x14ac:dyDescent="0.25">
      <c r="A1" s="16" t="s">
        <v>105</v>
      </c>
    </row>
    <row r="2" spans="1:1" x14ac:dyDescent="0.25">
      <c r="A2" s="29" t="str">
        <f>"Period: "&amp;Cover!C6</f>
        <v>Period: June 2026</v>
      </c>
    </row>
    <row r="4" spans="1:3" x14ac:dyDescent="0.25">
      <c r="A4" s="30" t="s">
        <v>106</v>
      </c>
      <c r="B4" s="30" t="s">
        <v>107</v>
      </c>
      <c r="C4" s="30" t="s">
        <v>108</v>
      </c>
    </row>
    <row r="5" spans="1:3" x14ac:dyDescent="0.25">
      <c r="A5" s="45" t="s">
        <v>109</v>
      </c>
      <c r="B5" s="20" t="s">
        <v>11</v>
      </c>
      <c r="C5" s="20" t="s">
        <v>11</v>
      </c>
    </row>
    <row r="6" spans="1:3" x14ac:dyDescent="0.25">
      <c r="A6" s="20" t="s">
        <v>110</v>
      </c>
      <c r="B6" s="36">
        <f>Sales!H23</f>
        <v>228510</v>
      </c>
      <c r="C6" s="46">
        <f>B6/$B$8</f>
        <v>0.9269806498722162</v>
      </c>
    </row>
    <row r="7" spans="1:3" x14ac:dyDescent="0.25">
      <c r="A7" s="20" t="s">
        <v>111</v>
      </c>
      <c r="B7" s="36">
        <f>Sales!H24</f>
        <v>18000</v>
      </c>
      <c r="C7" s="46">
        <f>B7/$B$8</f>
        <v>0.07301935012778386</v>
      </c>
    </row>
    <row r="8" spans="1:3" x14ac:dyDescent="0.25">
      <c r="A8" s="47" t="s">
        <v>12</v>
      </c>
      <c r="B8" s="28">
        <f>B6+B7</f>
        <v>246510</v>
      </c>
      <c r="C8" s="48">
        <f>B8/$B$8</f>
        <v>1</v>
      </c>
    </row>
    <row r="9" spans="1:3" x14ac:dyDescent="0.25">
      <c r="A9" s="45" t="s">
        <v>112</v>
      </c>
      <c r="B9" s="20" t="s">
        <v>11</v>
      </c>
      <c r="C9" s="20" t="s">
        <v>11</v>
      </c>
    </row>
    <row r="10" spans="1:3" x14ac:dyDescent="0.25">
      <c r="A10" s="20" t="s">
        <v>113</v>
      </c>
      <c r="B10" s="36">
        <f>Assumptions!B9*B8</f>
        <v>78883.2</v>
      </c>
      <c r="C10" s="46">
        <f>B10/$B$8</f>
        <v>0.32</v>
      </c>
    </row>
    <row r="11" spans="1:3" x14ac:dyDescent="0.25">
      <c r="A11" s="20" t="s">
        <v>114</v>
      </c>
      <c r="B11" s="36">
        <f>Assumptions!B10*Sales!G26</f>
        <v>20925</v>
      </c>
      <c r="C11" s="46">
        <f>B11/$B$8</f>
        <v>0.08488499452354874</v>
      </c>
    </row>
    <row r="12" spans="1:3" x14ac:dyDescent="0.25">
      <c r="A12" s="47" t="s">
        <v>115</v>
      </c>
      <c r="B12" s="28">
        <f>B10+B11</f>
        <v>99808.2</v>
      </c>
      <c r="C12" s="48">
        <f>B12/$B$8</f>
        <v>0.4048849945235487</v>
      </c>
    </row>
    <row r="13" spans="1:3" x14ac:dyDescent="0.25">
      <c r="A13" s="18" t="s">
        <v>13</v>
      </c>
      <c r="B13" s="49">
        <f>B8-B12</f>
        <v>146701.8</v>
      </c>
      <c r="C13" s="50">
        <f>B13/$B$8</f>
        <v>0.5951150054764512</v>
      </c>
    </row>
    <row r="14" spans="1:3" x14ac:dyDescent="0.25">
      <c r="A14" s="45" t="s">
        <v>14</v>
      </c>
      <c r="B14" s="20" t="s">
        <v>11</v>
      </c>
      <c r="C14" s="20" t="s">
        <v>11</v>
      </c>
    </row>
    <row r="15" spans="1:3" x14ac:dyDescent="0.25">
      <c r="A15" s="20" t="s">
        <v>116</v>
      </c>
      <c r="B15" s="36">
        <f>Assumptions!B15</f>
        <v>8000</v>
      </c>
      <c r="C15" s="46">
        <f>B15/$B$8</f>
        <v>0.032453044501237274</v>
      </c>
    </row>
    <row r="16" spans="1:3" x14ac:dyDescent="0.25">
      <c r="A16" s="20" t="s">
        <v>117</v>
      </c>
      <c r="B16" s="36">
        <f>Assumptions!B16</f>
        <v>18000</v>
      </c>
      <c r="C16" s="46">
        <f>B16/$B$8</f>
        <v>0.07301935012778386</v>
      </c>
    </row>
    <row r="17" spans="1:3" x14ac:dyDescent="0.25">
      <c r="A17" s="20" t="s">
        <v>118</v>
      </c>
      <c r="B17" s="36">
        <f>Assumptions!B17</f>
        <v>3500</v>
      </c>
      <c r="C17" s="46">
        <f>B17/$B$8</f>
        <v>0.014198206969291307</v>
      </c>
    </row>
    <row r="18" spans="1:3" x14ac:dyDescent="0.25">
      <c r="A18" s="20" t="s">
        <v>119</v>
      </c>
      <c r="B18" s="36">
        <f>Assumptions!B18</f>
        <v>2500</v>
      </c>
      <c r="C18" s="46">
        <f>B18/$B$8</f>
        <v>0.010141576406636647</v>
      </c>
    </row>
    <row r="19" spans="1:3" x14ac:dyDescent="0.25">
      <c r="A19" s="20" t="s">
        <v>120</v>
      </c>
      <c r="B19" s="36">
        <f>Assumptions!B19</f>
        <v>800</v>
      </c>
      <c r="C19" s="46">
        <f>B19/$B$8</f>
        <v>0.0032453044501237274</v>
      </c>
    </row>
    <row r="20" spans="1:3" x14ac:dyDescent="0.25">
      <c r="A20" s="47" t="s">
        <v>121</v>
      </c>
      <c r="B20" s="28">
        <f>SUM(B15:B19)</f>
        <v>32800</v>
      </c>
      <c r="C20" s="48">
        <f>B20/$B$8</f>
        <v>0.13305748245507282</v>
      </c>
    </row>
    <row r="21" spans="1:3" x14ac:dyDescent="0.25">
      <c r="A21" s="51" t="s">
        <v>122</v>
      </c>
      <c r="B21" s="52">
        <f>B13-B20</f>
        <v>113901.79999999999</v>
      </c>
      <c r="C21" s="53">
        <f>B21/$B$8</f>
        <v>0.46205752302137837</v>
      </c>
    </row>
    <row r="23" spans="1:3" x14ac:dyDescent="0.25">
      <c r="A23" s="15" t="s">
        <v>123</v>
      </c>
      <c r="B23" s="15"/>
      <c r="C23" s="15"/>
    </row>
  </sheetData>
  <mergeCells count="1">
    <mergeCell ref="A23:C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32" customWidth="1"/>
    <col min="4" max="5" width="14" customWidth="1"/>
    <col min="6" max="6" width="30" customWidth="1"/>
  </cols>
  <sheetData>
    <row r="1" spans="1:1" x14ac:dyDescent="0.25">
      <c r="A1" s="16" t="s">
        <v>124</v>
      </c>
    </row>
    <row r="2" spans="1:1" x14ac:dyDescent="0.25">
      <c r="A2" s="17" t="s">
        <v>125</v>
      </c>
    </row>
    <row r="4" spans="1:6" x14ac:dyDescent="0.25">
      <c r="A4" s="54" t="s">
        <v>126</v>
      </c>
      <c r="B4" s="55" t="s">
        <v>127</v>
      </c>
      <c r="C4" s="56" t="s">
        <v>128</v>
      </c>
      <c r="D4" s="57">
        <f>IncomeStatement!B8*Assumptions!B7</f>
        <v>110929.49999999999</v>
      </c>
      <c r="E4" s="57" t="s">
        <v>11</v>
      </c>
      <c r="F4" s="58" t="s">
        <v>129</v>
      </c>
    </row>
    <row r="5" spans="1:6" x14ac:dyDescent="0.25">
      <c r="A5" s="59" t="s">
        <v>11</v>
      </c>
      <c r="B5" s="60" t="s">
        <v>11</v>
      </c>
      <c r="C5" s="20" t="s">
        <v>130</v>
      </c>
      <c r="D5" s="36">
        <f>IncomeStatement!B8*Assumptions!B6</f>
        <v>135580.5</v>
      </c>
      <c r="E5" s="36" t="s">
        <v>11</v>
      </c>
      <c r="F5" s="22" t="s">
        <v>131</v>
      </c>
    </row>
    <row r="6" spans="1:6" x14ac:dyDescent="0.25">
      <c r="A6" s="59" t="s">
        <v>11</v>
      </c>
      <c r="B6" s="60" t="s">
        <v>11</v>
      </c>
      <c r="C6" s="20" t="s">
        <v>132</v>
      </c>
      <c r="D6" s="36" t="s">
        <v>11</v>
      </c>
      <c r="E6" s="36">
        <f>IncomeStatement!B6</f>
        <v>228510</v>
      </c>
      <c r="F6" s="22" t="s">
        <v>133</v>
      </c>
    </row>
    <row r="7" spans="1:6" x14ac:dyDescent="0.25">
      <c r="A7" s="59" t="s">
        <v>11</v>
      </c>
      <c r="B7" s="60" t="s">
        <v>11</v>
      </c>
      <c r="C7" s="20" t="s">
        <v>134</v>
      </c>
      <c r="D7" s="36" t="s">
        <v>11</v>
      </c>
      <c r="E7" s="36">
        <f>IncomeStatement!B7</f>
        <v>18000</v>
      </c>
      <c r="F7" s="22" t="s">
        <v>135</v>
      </c>
    </row>
    <row r="8" spans="1:6" x14ac:dyDescent="0.25">
      <c r="A8" s="59" t="s">
        <v>126</v>
      </c>
      <c r="B8" s="60" t="s">
        <v>136</v>
      </c>
      <c r="C8" s="20" t="s">
        <v>137</v>
      </c>
      <c r="D8" s="36">
        <f>IncomeStatement!B12</f>
        <v>99808.2</v>
      </c>
      <c r="E8" s="36" t="s">
        <v>11</v>
      </c>
      <c r="F8" s="22" t="s">
        <v>138</v>
      </c>
    </row>
    <row r="9" spans="1:6" x14ac:dyDescent="0.25">
      <c r="A9" s="59" t="s">
        <v>11</v>
      </c>
      <c r="B9" s="60" t="s">
        <v>11</v>
      </c>
      <c r="C9" s="20" t="s">
        <v>139</v>
      </c>
      <c r="D9" s="36" t="s">
        <v>11</v>
      </c>
      <c r="E9" s="36">
        <f>IncomeStatement!B10</f>
        <v>78883.2</v>
      </c>
      <c r="F9" s="22" t="s">
        <v>140</v>
      </c>
    </row>
    <row r="10" spans="1:6" x14ac:dyDescent="0.25">
      <c r="A10" s="59" t="s">
        <v>11</v>
      </c>
      <c r="B10" s="60" t="s">
        <v>11</v>
      </c>
      <c r="C10" s="20" t="s">
        <v>141</v>
      </c>
      <c r="D10" s="36" t="s">
        <v>11</v>
      </c>
      <c r="E10" s="36">
        <f>IncomeStatement!B11</f>
        <v>20925</v>
      </c>
      <c r="F10" s="22" t="s">
        <v>142</v>
      </c>
    </row>
    <row r="11" spans="1:6" x14ac:dyDescent="0.25">
      <c r="A11" s="59" t="s">
        <v>126</v>
      </c>
      <c r="B11" s="60" t="s">
        <v>143</v>
      </c>
      <c r="C11" s="20" t="s">
        <v>144</v>
      </c>
      <c r="D11" s="36">
        <f>Assumptions!B15</f>
        <v>8000</v>
      </c>
      <c r="E11" s="36" t="s">
        <v>11</v>
      </c>
      <c r="F11" s="22" t="s">
        <v>145</v>
      </c>
    </row>
    <row r="12" spans="1:6" x14ac:dyDescent="0.25">
      <c r="A12" s="59" t="s">
        <v>11</v>
      </c>
      <c r="B12" s="60" t="s">
        <v>11</v>
      </c>
      <c r="C12" s="20" t="s">
        <v>146</v>
      </c>
      <c r="D12" s="36">
        <f>Assumptions!B16</f>
        <v>18000</v>
      </c>
      <c r="E12" s="36" t="s">
        <v>11</v>
      </c>
      <c r="F12" s="22" t="s">
        <v>11</v>
      </c>
    </row>
    <row r="13" spans="1:6" x14ac:dyDescent="0.25">
      <c r="A13" s="59" t="s">
        <v>11</v>
      </c>
      <c r="B13" s="60" t="s">
        <v>11</v>
      </c>
      <c r="C13" s="20" t="s">
        <v>147</v>
      </c>
      <c r="D13" s="36">
        <f>Assumptions!B17</f>
        <v>3500</v>
      </c>
      <c r="E13" s="36" t="s">
        <v>11</v>
      </c>
      <c r="F13" s="22" t="s">
        <v>11</v>
      </c>
    </row>
    <row r="14" spans="1:6" x14ac:dyDescent="0.25">
      <c r="A14" s="59" t="s">
        <v>11</v>
      </c>
      <c r="B14" s="60" t="s">
        <v>11</v>
      </c>
      <c r="C14" s="20" t="s">
        <v>148</v>
      </c>
      <c r="D14" s="36">
        <f>Assumptions!B18</f>
        <v>2500</v>
      </c>
      <c r="E14" s="36" t="s">
        <v>11</v>
      </c>
      <c r="F14" s="22" t="s">
        <v>11</v>
      </c>
    </row>
    <row r="15" spans="1:6" x14ac:dyDescent="0.25">
      <c r="A15" s="59" t="s">
        <v>11</v>
      </c>
      <c r="B15" s="60" t="s">
        <v>11</v>
      </c>
      <c r="C15" s="20" t="s">
        <v>149</v>
      </c>
      <c r="D15" s="36">
        <f>Assumptions!B19</f>
        <v>800</v>
      </c>
      <c r="E15" s="36" t="s">
        <v>11</v>
      </c>
      <c r="F15" s="22" t="s">
        <v>11</v>
      </c>
    </row>
    <row r="16" spans="1:6" x14ac:dyDescent="0.25">
      <c r="A16" s="59" t="s">
        <v>11</v>
      </c>
      <c r="B16" s="60" t="s">
        <v>11</v>
      </c>
      <c r="C16" s="20" t="s">
        <v>150</v>
      </c>
      <c r="D16" s="36" t="s">
        <v>11</v>
      </c>
      <c r="E16" s="36">
        <f>SUM(D11:D15)</f>
        <v>32800</v>
      </c>
      <c r="F16" s="22" t="s">
        <v>151</v>
      </c>
    </row>
    <row r="18" spans="3:5" x14ac:dyDescent="0.25">
      <c r="C18" s="41" t="s">
        <v>152</v>
      </c>
      <c r="D18" s="42">
        <f>SUM(D4:D16)</f>
        <v>379118.2</v>
      </c>
      <c r="E18" s="42">
        <f>SUM(E4:E16)</f>
        <v>379118.2</v>
      </c>
    </row>
    <row r="19" spans="3:5" x14ac:dyDescent="0.25">
      <c r="C19" s="3" t="s">
        <v>153</v>
      </c>
      <c r="D19" s="38">
        <f>D18-E18</f>
        <v>0</v>
      </c>
      <c r="E19" s="61" t="str">
        <f>IF(D19=0,"BALANCED","OUT BY "&amp;TEXT(D19,"#,##0")) </f>
        <v>BALANCED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4" width="15" customWidth="1"/>
    <col min="5" max="5" width="12" customWidth="1"/>
    <col min="6" max="6" width="14" customWidth="1"/>
  </cols>
  <sheetData>
    <row r="1" spans="1:1" x14ac:dyDescent="0.25">
      <c r="A1" s="16" t="s">
        <v>154</v>
      </c>
    </row>
    <row r="2" spans="1:1" x14ac:dyDescent="0.25">
      <c r="A2" s="17" t="s">
        <v>155</v>
      </c>
    </row>
    <row r="4" spans="1:6" x14ac:dyDescent="0.25">
      <c r="A4" s="30" t="s">
        <v>106</v>
      </c>
      <c r="B4" s="30" t="s">
        <v>156</v>
      </c>
      <c r="C4" s="30" t="s">
        <v>157</v>
      </c>
      <c r="D4" s="30" t="s">
        <v>158</v>
      </c>
      <c r="E4" s="30" t="s">
        <v>159</v>
      </c>
      <c r="F4" s="30" t="s">
        <v>160</v>
      </c>
    </row>
    <row r="5" spans="1:6" x14ac:dyDescent="0.25">
      <c r="A5" s="27" t="s">
        <v>12</v>
      </c>
      <c r="B5" s="36">
        <f>IncomeStatement!B8</f>
        <v>246510</v>
      </c>
      <c r="C5" s="26">
        <v>235000</v>
      </c>
      <c r="D5" s="35">
        <f>B5-C5</f>
        <v>11510</v>
      </c>
      <c r="E5" s="24">
        <f>IFERROR(D5/C5,0)</f>
        <v>0.04897872340425532</v>
      </c>
      <c r="F5" s="62" t="str">
        <f>IF(D5&gt;=0,"Favourable","Unfavourable")</f>
        <v>Favourable</v>
      </c>
    </row>
    <row r="6" spans="1:6" x14ac:dyDescent="0.25">
      <c r="A6" s="27" t="s">
        <v>115</v>
      </c>
      <c r="B6" s="36">
        <f>IncomeStatement!B12</f>
        <v>99808.2</v>
      </c>
      <c r="C6" s="26">
        <v>95000</v>
      </c>
      <c r="D6" s="35">
        <f>B6-C6</f>
        <v>4808.199999999997</v>
      </c>
      <c r="E6" s="24">
        <f>IFERROR(D6/C6,0)</f>
        <v>0.05061263157894734</v>
      </c>
      <c r="F6" s="63" t="str">
        <f>IF(D6&lt;=0,"Favourable","Unfavourable")</f>
        <v>Unfavourable</v>
      </c>
    </row>
    <row r="7" spans="1:6" x14ac:dyDescent="0.25">
      <c r="A7" s="27" t="s">
        <v>13</v>
      </c>
      <c r="B7" s="36">
        <f>IncomeStatement!B13</f>
        <v>146701.8</v>
      </c>
      <c r="C7" s="35">
        <f>C5-C6</f>
        <v>140000</v>
      </c>
      <c r="D7" s="35">
        <f>B7-C7</f>
        <v>6701.799999999988</v>
      </c>
      <c r="E7" s="24">
        <f>IFERROR(D7/C7,0)</f>
        <v>0.04786999999999992</v>
      </c>
      <c r="F7" s="62" t="str">
        <f>IF(D7&gt;=0,"Favourable","Unfavourable")</f>
        <v>Favourable</v>
      </c>
    </row>
    <row r="8" spans="1:6" x14ac:dyDescent="0.25">
      <c r="A8" s="27" t="s">
        <v>14</v>
      </c>
      <c r="B8" s="36">
        <f>IncomeStatement!B20</f>
        <v>32800</v>
      </c>
      <c r="C8" s="26">
        <v>34000</v>
      </c>
      <c r="D8" s="35">
        <f>B8-C8</f>
        <v>-1200</v>
      </c>
      <c r="E8" s="24">
        <f>IFERROR(D8/C8,0)</f>
        <v>-0.03529411764705882</v>
      </c>
      <c r="F8" s="62" t="str">
        <f>IF(D8&lt;=0,"Favourable","Unfavourable")</f>
        <v>Favourable</v>
      </c>
    </row>
    <row r="9" spans="1:6" x14ac:dyDescent="0.25">
      <c r="A9" s="27" t="s">
        <v>15</v>
      </c>
      <c r="B9" s="36">
        <f>IncomeStatement!B21</f>
        <v>113901.79999999999</v>
      </c>
      <c r="C9" s="35">
        <f>C7-C8</f>
        <v>106000</v>
      </c>
      <c r="D9" s="35">
        <f>B9-C9</f>
        <v>7901.799999999988</v>
      </c>
      <c r="E9" s="24">
        <f>IFERROR(D9/C9,0)</f>
        <v>0.07454528301886781</v>
      </c>
      <c r="F9" s="62" t="str">
        <f>IF(D9&gt;=0,"Favourable","Unfavourable")</f>
        <v>Favourable</v>
      </c>
    </row>
    <row r="11" spans="1:6" x14ac:dyDescent="0.25">
      <c r="A11" s="15" t="s">
        <v>161</v>
      </c>
      <c r="B11" s="15"/>
      <c r="C11" s="15"/>
      <c r="D11" s="15"/>
      <c r="E11" s="15"/>
      <c r="F11" s="15"/>
    </row>
  </sheetData>
  <mergeCells count="1">
    <mergeCell ref="A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Assumptions</vt:lpstr>
      <vt:lpstr>Sales</vt:lpstr>
      <vt:lpstr>IncomeStatement</vt:lpstr>
      <vt:lpstr>Journal</vt:lpstr>
      <vt:lpstr>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YO-DEE Yogurt</dc:creator>
  <dc:title/>
  <dc:subject/>
  <dc:description/>
  <cp:keywords/>
  <cp:category/>
  <cp:lastModifiedBy>Unknown</cp:lastModifiedBy>
  <dcterms:created xsi:type="dcterms:W3CDTF">2026-06-07T00:00:00Z</dcterms:created>
  <dcterms:modified xsi:type="dcterms:W3CDTF">2026-06-07T04:47:49Z</dcterms:modified>
</cp:coreProperties>
</file>